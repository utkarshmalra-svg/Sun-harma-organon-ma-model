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 malra\Downloads\personal financial model\Merger &amp; Acquisition Model\"/>
    </mc:Choice>
  </mc:AlternateContent>
  <xr:revisionPtr revIDLastSave="0" documentId="13_ncr:1_{D2536F1E-D89F-4821-BA34-81182513CE78}" xr6:coauthVersionLast="47" xr6:coauthVersionMax="47" xr10:uidLastSave="{00000000-0000-0000-0000-000000000000}"/>
  <bookViews>
    <workbookView xWindow="-120" yWindow="-120" windowWidth="20730" windowHeight="11040" activeTab="2" xr2:uid="{5914830B-71C9-452B-9FB9-9F3236653022}"/>
  </bookViews>
  <sheets>
    <sheet name="M&amp;A Model" sheetId="1" r:id="rId1"/>
    <sheet name="Revenue synergy" sheetId="5" r:id="rId2"/>
    <sheet name="Cost Of Debt Estimation" sheetId="6" r:id="rId3"/>
    <sheet name="Transaction fees" sheetId="4" r:id="rId4"/>
    <sheet name="Accretion Dilution Analysis" sheetId="3" r:id="rId5"/>
  </sheets>
  <definedNames>
    <definedName name="base">'Revenue synergy'!$C$25:$I$25</definedName>
    <definedName name="best">'Revenue synergy'!$C$24:$I$24</definedName>
    <definedName name="_xlnm.Print_Area" localSheetId="0">'M&amp;A Model'!$A$1:$I$73</definedName>
    <definedName name="worst">'Revenue synergy'!$C$26:$I$26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5" l="1"/>
  <c r="E8" i="5" s="1" a="1"/>
  <c r="B26" i="5"/>
  <c r="B25" i="5"/>
  <c r="B24" i="5"/>
  <c r="D22" i="5" s="1"/>
  <c r="E9" i="5" s="1" a="1"/>
  <c r="F15" i="5"/>
  <c r="F22" i="5" s="1"/>
  <c r="H6" i="3"/>
  <c r="E31" i="6"/>
  <c r="E55" i="6" s="1"/>
  <c r="C54" i="6"/>
  <c r="E45" i="6"/>
  <c r="E56" i="6" s="1"/>
  <c r="C45" i="6"/>
  <c r="C56" i="6" s="1"/>
  <c r="F11" i="6"/>
  <c r="F12" i="6"/>
  <c r="C31" i="6"/>
  <c r="C55" i="6" s="1"/>
  <c r="H57" i="1"/>
  <c r="H59" i="1" s="1"/>
  <c r="H48" i="1"/>
  <c r="H39" i="1"/>
  <c r="G15" i="4" s="1"/>
  <c r="H31" i="1" s="1"/>
  <c r="H38" i="1"/>
  <c r="E10" i="5"/>
  <c r="E6" i="5"/>
  <c r="E15" i="5" s="1"/>
  <c r="E22" i="5" s="1"/>
  <c r="H40" i="1"/>
  <c r="H43" i="1" s="1"/>
  <c r="G6" i="5"/>
  <c r="H20" i="1"/>
  <c r="H49" i="1" s="1"/>
  <c r="H18" i="1"/>
  <c r="H26" i="1"/>
  <c r="E9" i="5" l="1"/>
  <c r="F9" i="5"/>
  <c r="G9" i="5"/>
  <c r="H9" i="5"/>
  <c r="I9" i="5"/>
  <c r="E8" i="5"/>
  <c r="F8" i="5"/>
  <c r="G8" i="5"/>
  <c r="H8" i="5"/>
  <c r="I8" i="5"/>
  <c r="H6" i="5"/>
  <c r="G15" i="5"/>
  <c r="F14" i="6"/>
  <c r="E54" i="6" s="1"/>
  <c r="E58" i="6"/>
  <c r="H14" i="1" s="1"/>
  <c r="H51" i="1" s="1"/>
  <c r="G22" i="5" l="1"/>
  <c r="I6" i="5"/>
  <c r="I15" i="5" s="1"/>
  <c r="I22" i="5" s="1"/>
  <c r="H15" i="5"/>
  <c r="H22" i="5" s="1"/>
  <c r="E12" i="5" l="1"/>
  <c r="H30" i="1" s="1"/>
  <c r="H50" i="1" s="1"/>
  <c r="H52" i="1" s="1"/>
  <c r="H7" i="3" s="1"/>
  <c r="H8" i="3" s="1"/>
  <c r="F10" i="5" l="1"/>
  <c r="F12" i="5" l="1"/>
  <c r="G10" i="5"/>
  <c r="G12" i="5" l="1"/>
  <c r="H10" i="5"/>
  <c r="I10" i="5" l="1"/>
  <c r="I12" i="5" s="1"/>
  <c r="H12" i="5"/>
</calcChain>
</file>

<file path=xl/sharedStrings.xml><?xml version="1.0" encoding="utf-8"?>
<sst xmlns="http://schemas.openxmlformats.org/spreadsheetml/2006/main" count="159" uniqueCount="146">
  <si>
    <t>Key Assumptions</t>
  </si>
  <si>
    <t>Financial inputs</t>
  </si>
  <si>
    <t xml:space="preserve"> </t>
  </si>
  <si>
    <t>Acquirer Company (Sun Pharma)</t>
  </si>
  <si>
    <t>Share outstanding</t>
  </si>
  <si>
    <t>Tax Rate</t>
  </si>
  <si>
    <t>Cost Of Debt</t>
  </si>
  <si>
    <t>Target Company (organon &amp; Co.)</t>
  </si>
  <si>
    <t>Net income</t>
  </si>
  <si>
    <t>Tax rate</t>
  </si>
  <si>
    <t>Target Net Income</t>
  </si>
  <si>
    <t>Acquirer Net Income</t>
  </si>
  <si>
    <t>Transaction Assumption</t>
  </si>
  <si>
    <t>Target Premium</t>
  </si>
  <si>
    <t>Cash Consideration</t>
  </si>
  <si>
    <t>Stock Consideration</t>
  </si>
  <si>
    <t>Debt Consideration</t>
  </si>
  <si>
    <t>Pre-Tax synergies</t>
  </si>
  <si>
    <t xml:space="preserve">Transaction fees </t>
  </si>
  <si>
    <t>Transaction Pro forma Assumptions</t>
  </si>
  <si>
    <t>purchase Price And Financing</t>
  </si>
  <si>
    <t>Total Equity Value (Purchase Price)</t>
  </si>
  <si>
    <t>Cash Required</t>
  </si>
  <si>
    <t>Stock Required</t>
  </si>
  <si>
    <t>Debt Required</t>
  </si>
  <si>
    <t>Total Consideration</t>
  </si>
  <si>
    <t>Pro Forma Net Income</t>
  </si>
  <si>
    <t>Synergies After Tax</t>
  </si>
  <si>
    <t>Pro Forma Share Outstanding</t>
  </si>
  <si>
    <t>Acquirer Share Outstanding</t>
  </si>
  <si>
    <t>New Share Issued</t>
  </si>
  <si>
    <t>proforma Share Outstanding</t>
  </si>
  <si>
    <t>Accretion/Dilution Analysis</t>
  </si>
  <si>
    <t>Paticulars</t>
  </si>
  <si>
    <t xml:space="preserve">Proforma EPS </t>
  </si>
  <si>
    <t>Acquirer EPS (StandAlone)</t>
  </si>
  <si>
    <t>Accertion/Dilution</t>
  </si>
  <si>
    <t>Date   26-04-2026</t>
  </si>
  <si>
    <t>Merger &amp; Acquistion Model</t>
  </si>
  <si>
    <t xml:space="preserve">Net Income </t>
  </si>
  <si>
    <t>Share Outstanding (Cr.)</t>
  </si>
  <si>
    <t>NOTE</t>
  </si>
  <si>
    <t>Share Price (26-04-26)</t>
  </si>
  <si>
    <t>Share price (26-04-26)</t>
  </si>
  <si>
    <t>Purchase (Deal) Price Per Share</t>
  </si>
  <si>
    <t>Particulars</t>
  </si>
  <si>
    <t>Scenarios For Synergies %</t>
  </si>
  <si>
    <t>Scenarios For Target Forecasted revenue %</t>
  </si>
  <si>
    <t>Target Forecasted revenue %</t>
  </si>
  <si>
    <t>Synergies %</t>
  </si>
  <si>
    <t>New Interest Expense After Tax</t>
  </si>
  <si>
    <t>Fee Type</t>
  </si>
  <si>
    <t>Financial Advisory</t>
  </si>
  <si>
    <t>Legal And Accounting</t>
  </si>
  <si>
    <t>Financial Fees</t>
  </si>
  <si>
    <t>Typical Range</t>
  </si>
  <si>
    <t>0.3%-1.0% of equity value</t>
  </si>
  <si>
    <t>0.1%-0.3% of equity Value</t>
  </si>
  <si>
    <t>0.2%-0.6% of debt issued</t>
  </si>
  <si>
    <t>~ 1.0%-2.0% of equity value</t>
  </si>
  <si>
    <t xml:space="preserve">Exchange rate </t>
  </si>
  <si>
    <t>spot rate (26-04-2026)</t>
  </si>
  <si>
    <t>Average rate (26-04-2026)</t>
  </si>
  <si>
    <t>Target Forecasted revenue (in Cr)</t>
  </si>
  <si>
    <t xml:space="preserve"> Revenue Synergies</t>
  </si>
  <si>
    <t>Total Transaction Fees (in %)</t>
  </si>
  <si>
    <t>Average Rate</t>
  </si>
  <si>
    <t>-</t>
  </si>
  <si>
    <t>Source: Organon &amp; Co. Form 10-K, FY2025 (filed with SEC, period ended Dec 31, 2025)</t>
  </si>
  <si>
    <t>Instrument</t>
  </si>
  <si>
    <t>Rate</t>
  </si>
  <si>
    <t>USD Term Loan B (Senior Credit Agreement)</t>
  </si>
  <si>
    <t>EUR Term Loan B</t>
  </si>
  <si>
    <t>Fixed, due 2028</t>
  </si>
  <si>
    <t>Fixed, due 2031</t>
  </si>
  <si>
    <t>Fixed, due 2034</t>
  </si>
  <si>
    <t>Total principal debt</t>
  </si>
  <si>
    <t>NOTES</t>
  </si>
  <si>
    <t xml:space="preserve">SOFAR Rate on 26-04-2026 - 3.64 (source - global rates .com) </t>
  </si>
  <si>
    <t xml:space="preserve">EURIBOR Rate on 26-04-2026 - 2.17 (source - euribor  rates .com) </t>
  </si>
  <si>
    <t>Others</t>
  </si>
  <si>
    <t>Due Date</t>
  </si>
  <si>
    <t xml:space="preserve"> secured notes</t>
  </si>
  <si>
    <t xml:space="preserve"> euro secured notes</t>
  </si>
  <si>
    <t xml:space="preserve"> notes</t>
  </si>
  <si>
    <t>secured notes</t>
  </si>
  <si>
    <t xml:space="preserve"> EURIBOR (2.17%) + 275bps, due 2031</t>
  </si>
  <si>
    <t xml:space="preserve"> SOFR (3.64%) + 225bps, due 2031</t>
  </si>
  <si>
    <t>Debt Type</t>
  </si>
  <si>
    <t>Rate Used in Model</t>
  </si>
  <si>
    <t>Bridge Loan</t>
  </si>
  <si>
    <t>6.0–6.5%</t>
  </si>
  <si>
    <t>Term Loan A</t>
  </si>
  <si>
    <t>5.8–6.2%</t>
  </si>
  <si>
    <t>Term Loan B</t>
  </si>
  <si>
    <t>6.2–6.8%</t>
  </si>
  <si>
    <t>Revolving Credit Facility</t>
  </si>
  <si>
    <t>Implied Cost of Debt</t>
  </si>
  <si>
    <t>Source: Sun Pharma Annual Report FY2024-25 (audited financials) + FY26 interim disclosures</t>
  </si>
  <si>
    <t>Period</t>
  </si>
  <si>
    <t>Finance Cost/Interest</t>
  </si>
  <si>
    <t>FY2025 (year ended Mar-25)</t>
  </si>
  <si>
    <t>FY2026 (year ended Mar-26)</t>
  </si>
  <si>
    <t>Average rate</t>
  </si>
  <si>
    <t>Total Borrowings (INR)</t>
  </si>
  <si>
    <t>Total Borrowings (USD)</t>
  </si>
  <si>
    <t>Range</t>
  </si>
  <si>
    <t>5.8-6.2 (depending on SOFAR)</t>
  </si>
  <si>
    <t>Total</t>
  </si>
  <si>
    <t>1)  Sun Pharma (Consolidated) — Existing Debt Structure</t>
  </si>
  <si>
    <t>2)  Organon (Target) — Existing Debt Structure</t>
  </si>
  <si>
    <t>3)  Sun Pharma (Consolidated) — New Debt Issued</t>
  </si>
  <si>
    <t>Pro-Froma Cost Of Debt</t>
  </si>
  <si>
    <t>Debt Category</t>
  </si>
  <si>
    <t xml:space="preserve">Total Borrowings </t>
  </si>
  <si>
    <t xml:space="preserve">Interest Rate </t>
  </si>
  <si>
    <t>Exisiting Sun Pharma Debt (INR)</t>
  </si>
  <si>
    <t>Exsisting Organon Co. Debt (USD)</t>
  </si>
  <si>
    <t>New Debt issued by Sun Pharma (USD)</t>
  </si>
  <si>
    <t>Total Cost Of Debt</t>
  </si>
  <si>
    <r>
      <t xml:space="preserve">Revenue synergies (in Cr)  </t>
    </r>
    <r>
      <rPr>
        <b/>
        <vertAlign val="superscript"/>
        <sz val="11"/>
        <color theme="1"/>
        <rFont val="Calibri"/>
        <family val="2"/>
      </rPr>
      <t>1</t>
    </r>
  </si>
  <si>
    <t>1. Revenue synergies = target company's forecasted revenue * synergies %</t>
  </si>
  <si>
    <t>2. historical CAGR for Organons revenue is 2.3 % based on past 3 years</t>
  </si>
  <si>
    <t>Transaction Fees Assumptions</t>
  </si>
  <si>
    <r>
      <t xml:space="preserve">Total Transaction Fees (in amount)   </t>
    </r>
    <r>
      <rPr>
        <b/>
        <vertAlign val="superscript"/>
        <sz val="11"/>
        <color theme="1"/>
        <rFont val="Calibri"/>
        <family val="2"/>
      </rPr>
      <t>1</t>
    </r>
  </si>
  <si>
    <t>1. Transaction fees (amt) = equity Value * 1.5%</t>
  </si>
  <si>
    <t>2. there is no publicaly avilable info on transaction fees</t>
  </si>
  <si>
    <t>3. trailing 12 month revenue of organon is $616 Cr.  And multiplying $616 Cr from average rate we get revenue in INR</t>
  </si>
  <si>
    <t>No publicaly Data Available</t>
  </si>
  <si>
    <t>Rational</t>
  </si>
  <si>
    <t>Key findings</t>
  </si>
  <si>
    <r>
      <rPr>
        <sz val="9"/>
        <color theme="1"/>
        <rFont val="Calibri"/>
        <family val="2"/>
      </rPr>
      <t>●</t>
    </r>
    <r>
      <rPr>
        <sz val="11"/>
        <color theme="1"/>
        <rFont val="Calibri"/>
        <family val="2"/>
      </rPr>
      <t xml:space="preserve">  Pro forma EPS is 9.59% higher than standalone EPS, suggesting that merger synergies and financing assumptions outweigh acquisition-related costs.</t>
    </r>
  </si>
  <si>
    <r>
      <rPr>
        <sz val="9"/>
        <color theme="1"/>
        <rFont val="Calibri"/>
        <family val="2"/>
      </rPr>
      <t xml:space="preserve">● </t>
    </r>
    <r>
      <rPr>
        <sz val="11"/>
        <color theme="1"/>
        <rFont val="Calibri"/>
        <family val="2"/>
      </rPr>
      <t xml:space="preserve"> A positive EPS accretion of 9.59% implies the acquisition is expected to enhance shareholder earnings and is financially attractive.</t>
    </r>
  </si>
  <si>
    <t xml:space="preserve">Best Case </t>
  </si>
  <si>
    <t>Base Case</t>
  </si>
  <si>
    <t>Worst Case</t>
  </si>
  <si>
    <t>Pro-Forma Cost Of Debt Estimation</t>
  </si>
  <si>
    <t>1. effective tax rate 2026 approx</t>
  </si>
  <si>
    <t>2. share price of Organon 0n 26-04-206 was 11.26$ ,converted it into INR</t>
  </si>
  <si>
    <t>3. Organon fully diluted share the figure Sun Pharma actually used to size the deal</t>
  </si>
  <si>
    <t xml:space="preserve">3. $18.7 cr net income  as on 31-12-25  </t>
  </si>
  <si>
    <t>4. Organon's own non-GAAP effective rate was 24.4%, which is probably the more useful number for a WACC-style calc</t>
  </si>
  <si>
    <t>5. unaffected share price (09-04-26) = $6.9 and Deal price (26-04-26) = $14</t>
  </si>
  <si>
    <t>6. acquisition hapeens in all cash basis</t>
  </si>
  <si>
    <t>7. $14 is a deal price which covert into INR using spot rate</t>
  </si>
  <si>
    <t>8. $399 Cr is equity value which convert in INR using spot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</si>
</sst>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General\ &quot;(Cr.)&quot;"/>
    <numFmt numFmtId="165" formatCode="&quot;Year &quot;General"/>
    <numFmt numFmtId="166" formatCode="0.0%"/>
    <numFmt numFmtId="167" formatCode="0.0"/>
    <numFmt numFmtId="168" formatCode="General&quot;/$&quot;"/>
    <numFmt numFmtId="169" formatCode="General\ &quot;Cr&quot;"/>
    <numFmt numFmtId="170" formatCode="General&quot;Cr&quot;"/>
    <numFmt numFmtId="171" formatCode="General&quot; Cr&quot;"/>
    <numFmt numFmtId="172" formatCode="0.0&quot; Cr&quot;"/>
  </numFmts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3.5"/>
      <color theme="1"/>
      <name val="Calibri"/>
      <family val="2"/>
    </font>
    <font>
      <b/>
      <sz val="12"/>
      <color theme="1"/>
      <name val="Calibri"/>
      <family val="2"/>
    </font>
    <font>
      <sz val="16"/>
      <color theme="0"/>
      <name val="Calibri"/>
      <family val="2"/>
    </font>
    <font>
      <sz val="12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u/>
      <sz val="24"/>
      <color theme="1"/>
      <name val="Bookman Old Style"/>
      <family val="1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u/>
      <sz val="15"/>
      <color theme="1"/>
      <name val="Calibri"/>
      <family val="2"/>
    </font>
    <font>
      <sz val="13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theme="0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5" fillId="3" borderId="0">
      <alignment horizontal="left" vertical="center"/>
    </xf>
    <xf numFmtId="0" fontId="6" fillId="5" borderId="0">
      <alignment horizontal="right" vertical="center"/>
    </xf>
    <xf numFmtId="0" fontId="7" fillId="6" borderId="0">
      <alignment horizontal="left" vertical="top"/>
    </xf>
  </cellStyleXfs>
  <cellXfs count="78">
    <xf numFmtId="0" fontId="0" fillId="0" borderId="0" xfId="0"/>
    <xf numFmtId="0" fontId="0" fillId="2" borderId="0" xfId="0" applyFill="1"/>
    <xf numFmtId="0" fontId="2" fillId="0" borderId="0" xfId="0" applyFont="1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applyFont="1"/>
    <xf numFmtId="2" fontId="0" fillId="0" borderId="0" xfId="0" applyNumberFormat="1"/>
    <xf numFmtId="166" fontId="0" fillId="0" borderId="0" xfId="0" applyNumberFormat="1"/>
    <xf numFmtId="0" fontId="0" fillId="0" borderId="0" xfId="0" applyAlignment="1"/>
    <xf numFmtId="1" fontId="0" fillId="0" borderId="0" xfId="0" applyNumberFormat="1"/>
    <xf numFmtId="166" fontId="0" fillId="0" borderId="0" xfId="1" applyNumberFormat="1" applyFont="1"/>
    <xf numFmtId="168" fontId="0" fillId="0" borderId="0" xfId="0" applyNumberFormat="1"/>
    <xf numFmtId="0" fontId="2" fillId="0" borderId="1" xfId="0" applyFont="1" applyBorder="1"/>
    <xf numFmtId="167" fontId="2" fillId="0" borderId="1" xfId="0" applyNumberFormat="1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68" fontId="0" fillId="0" borderId="5" xfId="0" applyNumberFormat="1" applyBorder="1"/>
    <xf numFmtId="0" fontId="0" fillId="0" borderId="6" xfId="0" applyBorder="1"/>
    <xf numFmtId="0" fontId="0" fillId="0" borderId="7" xfId="0" applyBorder="1"/>
    <xf numFmtId="168" fontId="0" fillId="0" borderId="8" xfId="0" applyNumberFormat="1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0" borderId="8" xfId="0" applyBorder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0" fontId="2" fillId="0" borderId="1" xfId="1" applyNumberFormat="1" applyFont="1" applyBorder="1" applyAlignment="1">
      <alignment horizontal="center"/>
    </xf>
    <xf numFmtId="169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171" fontId="0" fillId="0" borderId="0" xfId="0" applyNumberFormat="1" applyAlignment="1">
      <alignment horizontal="center" vertical="center" wrapText="1"/>
    </xf>
    <xf numFmtId="17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171" fontId="2" fillId="0" borderId="1" xfId="0" applyNumberFormat="1" applyFont="1" applyBorder="1" applyAlignment="1">
      <alignment horizontal="center"/>
    </xf>
    <xf numFmtId="172" fontId="0" fillId="0" borderId="0" xfId="0" applyNumberFormat="1" applyAlignment="1">
      <alignment horizontal="center"/>
    </xf>
    <xf numFmtId="172" fontId="0" fillId="0" borderId="0" xfId="0" applyNumberFormat="1"/>
    <xf numFmtId="172" fontId="2" fillId="0" borderId="1" xfId="0" applyNumberFormat="1" applyFont="1" applyBorder="1" applyAlignment="1">
      <alignment horizontal="center"/>
    </xf>
    <xf numFmtId="171" fontId="0" fillId="0" borderId="0" xfId="0" applyNumberFormat="1" applyAlignment="1">
      <alignment horizontal="center"/>
    </xf>
    <xf numFmtId="3" fontId="0" fillId="0" borderId="1" xfId="0" applyNumberFormat="1" applyBorder="1"/>
    <xf numFmtId="0" fontId="10" fillId="4" borderId="0" xfId="0" applyFont="1" applyFill="1"/>
    <xf numFmtId="0" fontId="3" fillId="4" borderId="0" xfId="0" applyFont="1" applyFill="1"/>
    <xf numFmtId="0" fontId="9" fillId="2" borderId="3" xfId="0" applyFont="1" applyFill="1" applyBorder="1"/>
    <xf numFmtId="0" fontId="11" fillId="0" borderId="0" xfId="0" applyFont="1"/>
    <xf numFmtId="0" fontId="9" fillId="2" borderId="3" xfId="0" applyFont="1" applyFill="1" applyBorder="1" applyAlignment="1">
      <alignment vertical="center"/>
    </xf>
    <xf numFmtId="165" fontId="9" fillId="2" borderId="3" xfId="0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2" fillId="0" borderId="3" xfId="0" applyFont="1" applyBorder="1"/>
    <xf numFmtId="0" fontId="0" fillId="0" borderId="3" xfId="0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9" fillId="8" borderId="3" xfId="0" applyFont="1" applyFill="1" applyBorder="1" applyAlignment="1">
      <alignment horizontal="left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0" borderId="2" xfId="0" applyBorder="1"/>
    <xf numFmtId="10" fontId="0" fillId="0" borderId="2" xfId="1" applyNumberFormat="1" applyFont="1" applyBorder="1"/>
    <xf numFmtId="0" fontId="0" fillId="7" borderId="0" xfId="0" applyFill="1" applyAlignment="1">
      <alignment horizontal="center" vertical="center"/>
    </xf>
    <xf numFmtId="10" fontId="2" fillId="0" borderId="1" xfId="1" applyNumberFormat="1" applyFont="1" applyBorder="1"/>
    <xf numFmtId="165" fontId="0" fillId="0" borderId="0" xfId="0" applyNumberFormat="1"/>
    <xf numFmtId="10" fontId="0" fillId="0" borderId="2" xfId="0" applyNumberFormat="1" applyBorder="1"/>
    <xf numFmtId="0" fontId="3" fillId="0" borderId="0" xfId="0" applyFont="1"/>
    <xf numFmtId="0" fontId="0" fillId="7" borderId="11" xfId="0" applyFill="1" applyBorder="1" applyAlignment="1">
      <alignment horizontal="center"/>
    </xf>
    <xf numFmtId="0" fontId="17" fillId="0" borderId="0" xfId="0" applyFont="1"/>
    <xf numFmtId="0" fontId="18" fillId="7" borderId="0" xfId="0" applyFont="1" applyFill="1"/>
  </cellXfs>
  <cellStyles count="7">
    <cellStyle name="Bar Scenario" xfId="5" xr:uid="{68910FA2-3DC8-436D-B9BB-55236DF2C7FC}"/>
    <cellStyle name="Bar Title" xfId="4" xr:uid="{805EC909-2D7E-4C50-84B0-515CAA9D2D27}"/>
    <cellStyle name="Comma 2" xfId="3" xr:uid="{160B8004-220C-4A9A-AE53-F1D4271992C5}"/>
    <cellStyle name="Normal" xfId="0" builtinId="0"/>
    <cellStyle name="Normal 2" xfId="2" xr:uid="{A7248376-9767-40BC-A11B-A41885A93DED}"/>
    <cellStyle name="Percent" xfId="1" builtinId="5"/>
    <cellStyle name="Subtitle3" xfId="6" xr:uid="{D8A3F786-53F2-4D1E-9BF8-07E8BD7397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38008-3EDE-4FE7-A8BE-232DE83E36D1}">
  <dimension ref="A1:P70"/>
  <sheetViews>
    <sheetView showGridLines="0" topLeftCell="A34" zoomScale="85" zoomScaleNormal="85" zoomScalePageLayoutView="40" workbookViewId="0">
      <selection activeCell="B48" sqref="B48"/>
    </sheetView>
  </sheetViews>
  <sheetFormatPr defaultRowHeight="15" x14ac:dyDescent="0.25"/>
  <cols>
    <col min="1" max="1" width="1.85546875" customWidth="1"/>
    <col min="8" max="8" width="9.42578125" customWidth="1"/>
    <col min="9" max="9" width="3" customWidth="1"/>
  </cols>
  <sheetData>
    <row r="1" spans="1:16" ht="30.75" x14ac:dyDescent="0.45">
      <c r="B1" s="66" t="s">
        <v>38</v>
      </c>
    </row>
    <row r="4" spans="1:16" ht="21" x14ac:dyDescent="0.35">
      <c r="B4" s="54" t="s">
        <v>0</v>
      </c>
      <c r="C4" s="55"/>
      <c r="D4" s="55"/>
      <c r="E4" s="55"/>
      <c r="F4" s="55"/>
      <c r="G4" s="55"/>
      <c r="H4" s="55"/>
      <c r="J4" s="54" t="s">
        <v>129</v>
      </c>
      <c r="K4" s="54"/>
      <c r="L4" s="54"/>
      <c r="M4" s="54"/>
      <c r="N4" s="54"/>
      <c r="O4" s="54"/>
      <c r="P4" s="54"/>
    </row>
    <row r="6" spans="1:16" ht="17.25" x14ac:dyDescent="0.3">
      <c r="B6" s="77" t="s">
        <v>1</v>
      </c>
      <c r="C6" s="77"/>
      <c r="D6" s="77"/>
      <c r="E6" s="77"/>
      <c r="F6" s="77"/>
      <c r="G6" s="77" t="s">
        <v>37</v>
      </c>
      <c r="H6" s="77"/>
    </row>
    <row r="8" spans="1:16" x14ac:dyDescent="0.25">
      <c r="A8" t="s">
        <v>2</v>
      </c>
      <c r="B8" s="1" t="s">
        <v>3</v>
      </c>
      <c r="C8" s="1"/>
      <c r="D8" s="1"/>
      <c r="E8" s="1"/>
      <c r="F8" s="1"/>
      <c r="G8" s="1"/>
      <c r="H8" s="1"/>
    </row>
    <row r="10" spans="1:16" x14ac:dyDescent="0.25">
      <c r="B10" t="s">
        <v>43</v>
      </c>
      <c r="H10">
        <v>1620</v>
      </c>
    </row>
    <row r="11" spans="1:16" x14ac:dyDescent="0.25">
      <c r="B11" t="s">
        <v>4</v>
      </c>
      <c r="H11">
        <v>240</v>
      </c>
    </row>
    <row r="12" spans="1:16" x14ac:dyDescent="0.25">
      <c r="B12" s="5" t="s">
        <v>39</v>
      </c>
      <c r="H12" s="27">
        <v>11509</v>
      </c>
    </row>
    <row r="13" spans="1:16" x14ac:dyDescent="0.25">
      <c r="B13" t="s">
        <v>5</v>
      </c>
      <c r="H13" s="3">
        <v>0.25</v>
      </c>
      <c r="J13" t="s">
        <v>137</v>
      </c>
    </row>
    <row r="14" spans="1:16" x14ac:dyDescent="0.25">
      <c r="B14" t="s">
        <v>6</v>
      </c>
      <c r="H14" s="6">
        <f>'Cost Of Debt Estimation'!E58</f>
        <v>7.4137294127952974E-2</v>
      </c>
    </row>
    <row r="16" spans="1:16" x14ac:dyDescent="0.25">
      <c r="B16" s="1" t="s">
        <v>7</v>
      </c>
      <c r="C16" s="1"/>
      <c r="D16" s="1"/>
      <c r="E16" s="1"/>
      <c r="F16" s="1"/>
      <c r="G16" s="1"/>
      <c r="H16" s="1"/>
    </row>
    <row r="18" spans="2:10" x14ac:dyDescent="0.25">
      <c r="B18" t="s">
        <v>42</v>
      </c>
      <c r="H18">
        <f>11.26*94.9</f>
        <v>1068.5740000000001</v>
      </c>
      <c r="J18" t="s">
        <v>138</v>
      </c>
    </row>
    <row r="19" spans="2:10" x14ac:dyDescent="0.25">
      <c r="B19" t="s">
        <v>40</v>
      </c>
      <c r="H19">
        <v>28.5</v>
      </c>
      <c r="J19" t="s">
        <v>139</v>
      </c>
    </row>
    <row r="20" spans="2:10" x14ac:dyDescent="0.25">
      <c r="B20" t="s">
        <v>8</v>
      </c>
      <c r="H20">
        <f>18.7*87.6</f>
        <v>1638.12</v>
      </c>
      <c r="J20" t="s">
        <v>140</v>
      </c>
    </row>
    <row r="21" spans="2:10" x14ac:dyDescent="0.25">
      <c r="B21" t="s">
        <v>9</v>
      </c>
      <c r="H21" s="6">
        <v>0.24399999999999999</v>
      </c>
      <c r="J21" s="7" t="s">
        <v>141</v>
      </c>
    </row>
    <row r="24" spans="2:10" ht="17.25" x14ac:dyDescent="0.3">
      <c r="B24" s="77" t="s">
        <v>12</v>
      </c>
      <c r="C24" s="77"/>
      <c r="D24" s="77"/>
      <c r="E24" s="77"/>
      <c r="F24" s="77"/>
      <c r="G24" s="77"/>
      <c r="H24" s="77"/>
    </row>
    <row r="26" spans="2:10" x14ac:dyDescent="0.25">
      <c r="B26" t="s">
        <v>13</v>
      </c>
      <c r="H26" s="3">
        <f>14/6.9-1</f>
        <v>1.0289855072463765</v>
      </c>
      <c r="J26" t="s">
        <v>142</v>
      </c>
    </row>
    <row r="27" spans="2:10" x14ac:dyDescent="0.25">
      <c r="B27" t="s">
        <v>14</v>
      </c>
      <c r="H27" s="3">
        <v>1</v>
      </c>
      <c r="J27" t="s">
        <v>143</v>
      </c>
    </row>
    <row r="28" spans="2:10" x14ac:dyDescent="0.25">
      <c r="B28" t="s">
        <v>15</v>
      </c>
      <c r="H28" s="28" t="s">
        <v>67</v>
      </c>
    </row>
    <row r="29" spans="2:10" x14ac:dyDescent="0.25">
      <c r="B29" t="s">
        <v>16</v>
      </c>
      <c r="H29" s="28" t="s">
        <v>67</v>
      </c>
    </row>
    <row r="30" spans="2:10" x14ac:dyDescent="0.25">
      <c r="B30" t="s">
        <v>17</v>
      </c>
      <c r="H30" s="8">
        <f>'Revenue synergy'!E12</f>
        <v>555.20079999999996</v>
      </c>
    </row>
    <row r="31" spans="2:10" x14ac:dyDescent="0.25">
      <c r="B31" t="s">
        <v>18</v>
      </c>
      <c r="H31" s="8">
        <f>'Transaction fees'!G15</f>
        <v>549.04395000000011</v>
      </c>
    </row>
    <row r="34" spans="2:10" ht="21" x14ac:dyDescent="0.35">
      <c r="B34" s="54" t="s">
        <v>19</v>
      </c>
      <c r="C34" s="54"/>
      <c r="D34" s="54"/>
      <c r="E34" s="54"/>
      <c r="F34" s="54"/>
      <c r="G34" s="54"/>
      <c r="H34" s="54"/>
    </row>
    <row r="36" spans="2:10" x14ac:dyDescent="0.25">
      <c r="B36" s="1" t="s">
        <v>20</v>
      </c>
      <c r="C36" s="1"/>
      <c r="D36" s="1"/>
      <c r="E36" s="1"/>
      <c r="F36" s="1"/>
      <c r="G36" s="1"/>
      <c r="H36" s="1"/>
    </row>
    <row r="38" spans="2:10" x14ac:dyDescent="0.25">
      <c r="B38" t="s">
        <v>44</v>
      </c>
      <c r="H38" s="13">
        <f>14*E69</f>
        <v>1328.6000000000001</v>
      </c>
      <c r="J38" t="s">
        <v>144</v>
      </c>
    </row>
    <row r="39" spans="2:10" x14ac:dyDescent="0.25">
      <c r="B39" t="s">
        <v>21</v>
      </c>
      <c r="H39" s="27">
        <f>399*E69</f>
        <v>37865.100000000006</v>
      </c>
      <c r="J39" t="s">
        <v>145</v>
      </c>
    </row>
    <row r="40" spans="2:10" x14ac:dyDescent="0.25">
      <c r="B40" t="s">
        <v>22</v>
      </c>
      <c r="H40">
        <f>H39</f>
        <v>37865.100000000006</v>
      </c>
    </row>
    <row r="41" spans="2:10" x14ac:dyDescent="0.25">
      <c r="B41" t="s">
        <v>23</v>
      </c>
      <c r="H41" s="28" t="s">
        <v>67</v>
      </c>
    </row>
    <row r="42" spans="2:10" x14ac:dyDescent="0.25">
      <c r="B42" t="s">
        <v>24</v>
      </c>
      <c r="H42" s="28" t="s">
        <v>67</v>
      </c>
    </row>
    <row r="43" spans="2:10" x14ac:dyDescent="0.25">
      <c r="B43" s="14" t="s">
        <v>25</v>
      </c>
      <c r="C43" s="29"/>
      <c r="D43" s="29"/>
      <c r="E43" s="29"/>
      <c r="F43" s="29"/>
      <c r="G43" s="29"/>
      <c r="H43" s="29">
        <f>SUM(H40:H42)</f>
        <v>37865.100000000006</v>
      </c>
    </row>
    <row r="46" spans="2:10" x14ac:dyDescent="0.25">
      <c r="B46" s="1" t="s">
        <v>26</v>
      </c>
      <c r="C46" s="1"/>
      <c r="D46" s="1"/>
      <c r="E46" s="1"/>
      <c r="F46" s="1"/>
      <c r="G46" s="1"/>
      <c r="H46" s="1"/>
    </row>
    <row r="48" spans="2:10" x14ac:dyDescent="0.25">
      <c r="B48" t="s">
        <v>11</v>
      </c>
      <c r="H48" s="4">
        <f>H12</f>
        <v>11509</v>
      </c>
    </row>
    <row r="49" spans="2:8" x14ac:dyDescent="0.25">
      <c r="B49" t="s">
        <v>10</v>
      </c>
      <c r="H49">
        <f>H20</f>
        <v>1638.12</v>
      </c>
    </row>
    <row r="50" spans="2:8" x14ac:dyDescent="0.25">
      <c r="B50" t="s">
        <v>27</v>
      </c>
      <c r="H50" s="8">
        <f>H30*(1-H13)</f>
        <v>416.40059999999994</v>
      </c>
    </row>
    <row r="51" spans="2:8" x14ac:dyDescent="0.25">
      <c r="B51" t="s">
        <v>50</v>
      </c>
      <c r="H51" s="6">
        <f>H14*(1-H13)</f>
        <v>5.5602970595964731E-2</v>
      </c>
    </row>
    <row r="52" spans="2:8" x14ac:dyDescent="0.25">
      <c r="B52" s="14" t="s">
        <v>26</v>
      </c>
      <c r="C52" s="29"/>
      <c r="D52" s="29"/>
      <c r="E52" s="29"/>
      <c r="F52" s="29"/>
      <c r="G52" s="29"/>
      <c r="H52" s="53">
        <f>SUM(H48:H50)*(1-H51)</f>
        <v>12809.348562900437</v>
      </c>
    </row>
    <row r="55" spans="2:8" x14ac:dyDescent="0.25">
      <c r="B55" s="1" t="s">
        <v>28</v>
      </c>
      <c r="C55" s="1"/>
      <c r="D55" s="1"/>
      <c r="E55" s="1"/>
      <c r="F55" s="1"/>
      <c r="G55" s="1"/>
      <c r="H55" s="1"/>
    </row>
    <row r="57" spans="2:8" x14ac:dyDescent="0.25">
      <c r="B57" t="s">
        <v>29</v>
      </c>
      <c r="H57">
        <f>H11</f>
        <v>240</v>
      </c>
    </row>
    <row r="58" spans="2:8" x14ac:dyDescent="0.25">
      <c r="B58" t="s">
        <v>30</v>
      </c>
      <c r="H58" s="28" t="s">
        <v>67</v>
      </c>
    </row>
    <row r="59" spans="2:8" x14ac:dyDescent="0.25">
      <c r="B59" s="14" t="s">
        <v>31</v>
      </c>
      <c r="C59" s="14"/>
      <c r="D59" s="14"/>
      <c r="E59" s="14"/>
      <c r="F59" s="14"/>
      <c r="G59" s="14"/>
      <c r="H59" s="14">
        <f>SUM(H57:H58)</f>
        <v>240</v>
      </c>
    </row>
    <row r="65" spans="2:5" ht="19.5" x14ac:dyDescent="0.3">
      <c r="B65" s="76" t="s">
        <v>41</v>
      </c>
    </row>
    <row r="66" spans="2:5" ht="6.75" customHeight="1" x14ac:dyDescent="0.25"/>
    <row r="67" spans="2:5" ht="19.5" customHeight="1" x14ac:dyDescent="0.25">
      <c r="B67" s="23" t="s">
        <v>60</v>
      </c>
      <c r="C67" s="24"/>
      <c r="D67" s="25"/>
      <c r="E67" s="25"/>
    </row>
    <row r="68" spans="2:5" ht="5.25" customHeight="1" x14ac:dyDescent="0.25">
      <c r="B68" s="16"/>
      <c r="C68" s="17"/>
      <c r="D68" s="18"/>
      <c r="E68" s="18"/>
    </row>
    <row r="69" spans="2:5" x14ac:dyDescent="0.25">
      <c r="B69" s="16" t="s">
        <v>61</v>
      </c>
      <c r="C69" s="17"/>
      <c r="D69" s="18"/>
      <c r="E69" s="19">
        <v>94.9</v>
      </c>
    </row>
    <row r="70" spans="2:5" x14ac:dyDescent="0.25">
      <c r="B70" s="20" t="s">
        <v>62</v>
      </c>
      <c r="C70" s="21"/>
      <c r="D70" s="26"/>
      <c r="E70" s="22">
        <v>90.13</v>
      </c>
    </row>
  </sheetData>
  <pageMargins left="0.7" right="0.7" top="0.75" bottom="0.75" header="0.3" footer="0.3"/>
  <pageSetup paperSize="9" orientation="portrait" r:id="rId1"/>
  <rowBreaks count="1" manualBreakCount="1">
    <brk id="32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7845-355C-44F5-B811-E816C3D8ED87}">
  <dimension ref="B1:I33"/>
  <sheetViews>
    <sheetView showGridLines="0" zoomScale="85" zoomScaleNormal="85" zoomScalePageLayoutView="70" workbookViewId="0">
      <selection activeCell="Q8" sqref="Q8"/>
    </sheetView>
  </sheetViews>
  <sheetFormatPr defaultRowHeight="15" x14ac:dyDescent="0.25"/>
  <cols>
    <col min="1" max="1" width="1.85546875" customWidth="1"/>
    <col min="2" max="2" width="57.140625" customWidth="1"/>
    <col min="3" max="3" width="14.42578125" customWidth="1"/>
    <col min="9" max="9" width="9.140625" customWidth="1"/>
  </cols>
  <sheetData>
    <row r="1" spans="2:9" ht="30.75" x14ac:dyDescent="0.45">
      <c r="B1" s="66" t="s">
        <v>64</v>
      </c>
    </row>
    <row r="6" spans="2:9" s="57" customFormat="1" ht="22.5" customHeight="1" x14ac:dyDescent="0.25">
      <c r="B6" s="58" t="s">
        <v>45</v>
      </c>
      <c r="C6" s="58"/>
      <c r="D6" s="58"/>
      <c r="E6" s="59">
        <f>F6-1</f>
        <v>0</v>
      </c>
      <c r="F6" s="59">
        <v>1</v>
      </c>
      <c r="G6" s="59">
        <f>F6+1</f>
        <v>2</v>
      </c>
      <c r="H6" s="59">
        <f t="shared" ref="H6:I6" si="0">G6+1</f>
        <v>3</v>
      </c>
      <c r="I6" s="59">
        <f t="shared" si="0"/>
        <v>4</v>
      </c>
    </row>
    <row r="7" spans="2:9" ht="7.5" customHeight="1" x14ac:dyDescent="0.25"/>
    <row r="8" spans="2:9" x14ac:dyDescent="0.25">
      <c r="B8" t="s">
        <v>49</v>
      </c>
      <c r="E8" s="9">
        <f t="array" ref="E8:I8">CHOOSE(D15,E17:I17,E18:I18,E19:I19)</f>
        <v>0.01</v>
      </c>
      <c r="F8" s="9">
        <v>0.01</v>
      </c>
      <c r="G8" s="9">
        <v>1.4999999999999999E-2</v>
      </c>
      <c r="H8" s="9">
        <v>1.7500000000000002E-2</v>
      </c>
      <c r="I8" s="9">
        <v>0.02</v>
      </c>
    </row>
    <row r="9" spans="2:9" x14ac:dyDescent="0.25">
      <c r="B9" s="10" t="s">
        <v>48</v>
      </c>
      <c r="E9" s="9">
        <f t="array" ref="E9:I9">CHOOSE(D22,E24:I24,E25:I25,E26:I26)</f>
        <v>1.7999999999999999E-2</v>
      </c>
      <c r="F9" s="12">
        <v>0.02</v>
      </c>
      <c r="G9" s="12">
        <v>2.1000000000000001E-2</v>
      </c>
      <c r="H9" s="12">
        <v>2.2000000000000002E-2</v>
      </c>
      <c r="I9" s="12">
        <v>2.4E-2</v>
      </c>
    </row>
    <row r="10" spans="2:9" x14ac:dyDescent="0.25">
      <c r="B10" t="s">
        <v>63</v>
      </c>
      <c r="E10" s="11">
        <f>616*'M&amp;A Model'!E70</f>
        <v>55520.079999999994</v>
      </c>
      <c r="F10" s="11">
        <f>E10*(1+F9)</f>
        <v>56630.481599999992</v>
      </c>
      <c r="G10" s="11">
        <f t="shared" ref="G10:I10" si="1">F10*(1+G9)</f>
        <v>57819.721713599989</v>
      </c>
      <c r="H10" s="11">
        <f t="shared" si="1"/>
        <v>59091.755591299188</v>
      </c>
      <c r="I10" s="11">
        <f t="shared" si="1"/>
        <v>60509.957725490371</v>
      </c>
    </row>
    <row r="11" spans="2:9" x14ac:dyDescent="0.25">
      <c r="E11" s="8"/>
      <c r="F11" s="8"/>
      <c r="G11" s="8"/>
      <c r="H11" s="8"/>
      <c r="I11" s="8"/>
    </row>
    <row r="12" spans="2:9" ht="17.25" x14ac:dyDescent="0.25">
      <c r="B12" s="14" t="s">
        <v>120</v>
      </c>
      <c r="C12" s="14"/>
      <c r="D12" s="14"/>
      <c r="E12" s="15">
        <f>E10*E8</f>
        <v>555.20079999999996</v>
      </c>
      <c r="F12" s="15">
        <f t="shared" ref="F12:I12" si="2">F10*F8</f>
        <v>566.30481599999996</v>
      </c>
      <c r="G12" s="15">
        <f t="shared" si="2"/>
        <v>867.29582570399975</v>
      </c>
      <c r="H12" s="15">
        <f t="shared" si="2"/>
        <v>1034.1057228477359</v>
      </c>
      <c r="I12" s="15">
        <f t="shared" si="2"/>
        <v>1210.1991545098074</v>
      </c>
    </row>
    <row r="13" spans="2:9" x14ac:dyDescent="0.25">
      <c r="E13" s="8"/>
      <c r="F13" s="8"/>
      <c r="G13" s="8"/>
      <c r="H13" s="8"/>
      <c r="I13" s="8"/>
    </row>
    <row r="14" spans="2:9" ht="15.75" thickBot="1" x14ac:dyDescent="0.3"/>
    <row r="15" spans="2:9" ht="18" customHeight="1" thickBot="1" x14ac:dyDescent="0.3">
      <c r="B15" s="70" t="s">
        <v>46</v>
      </c>
      <c r="C15" s="75" t="s">
        <v>133</v>
      </c>
      <c r="D15" s="74">
        <f>MATCH(C15,B17:B19,0)</f>
        <v>1</v>
      </c>
      <c r="E15" s="72">
        <f>E6</f>
        <v>0</v>
      </c>
      <c r="F15" s="72">
        <f>F6</f>
        <v>1</v>
      </c>
      <c r="G15" s="72">
        <f t="shared" ref="G15:I15" si="3">G6</f>
        <v>2</v>
      </c>
      <c r="H15" s="72">
        <f t="shared" si="3"/>
        <v>3</v>
      </c>
      <c r="I15" s="72">
        <f t="shared" si="3"/>
        <v>4</v>
      </c>
    </row>
    <row r="16" spans="2:9" ht="6" customHeight="1" x14ac:dyDescent="0.25"/>
    <row r="17" spans="2:9" x14ac:dyDescent="0.25">
      <c r="B17" s="68" t="s">
        <v>133</v>
      </c>
      <c r="C17" s="68"/>
      <c r="D17" s="68"/>
      <c r="E17" s="73">
        <v>0.01</v>
      </c>
      <c r="F17" s="69">
        <v>0.01</v>
      </c>
      <c r="G17" s="69">
        <v>1.4999999999999999E-2</v>
      </c>
      <c r="H17" s="69">
        <v>1.7500000000000002E-2</v>
      </c>
      <c r="I17" s="69">
        <v>0.02</v>
      </c>
    </row>
    <row r="18" spans="2:9" x14ac:dyDescent="0.25">
      <c r="B18" s="68" t="s">
        <v>134</v>
      </c>
      <c r="C18" s="68"/>
      <c r="D18" s="68"/>
      <c r="E18" s="73">
        <v>5.0000000000000001E-3</v>
      </c>
      <c r="F18" s="69">
        <v>5.0000000000000001E-3</v>
      </c>
      <c r="G18" s="69">
        <v>0.01</v>
      </c>
      <c r="H18" s="69">
        <v>1.4999999999999999E-2</v>
      </c>
      <c r="I18" s="69">
        <v>0.02</v>
      </c>
    </row>
    <row r="19" spans="2:9" x14ac:dyDescent="0.25">
      <c r="B19" s="68" t="s">
        <v>135</v>
      </c>
      <c r="C19" s="68"/>
      <c r="D19" s="68"/>
      <c r="E19" s="73">
        <v>4.0000000000000001E-3</v>
      </c>
      <c r="F19" s="69">
        <v>5.0000000000000001E-3</v>
      </c>
      <c r="G19" s="69">
        <v>7.5000000000000002E-4</v>
      </c>
      <c r="H19" s="69">
        <v>0.01</v>
      </c>
      <c r="I19" s="69">
        <v>1.15E-2</v>
      </c>
    </row>
    <row r="21" spans="2:9" ht="15.75" thickBot="1" x14ac:dyDescent="0.3"/>
    <row r="22" spans="2:9" ht="18.75" customHeight="1" thickBot="1" x14ac:dyDescent="0.3">
      <c r="B22" s="70" t="s">
        <v>47</v>
      </c>
      <c r="C22" s="75" t="s">
        <v>135</v>
      </c>
      <c r="D22" s="74">
        <f>MATCH(C22,B24:B26,0)</f>
        <v>3</v>
      </c>
      <c r="E22" s="72">
        <f>E15</f>
        <v>0</v>
      </c>
      <c r="F22" s="72">
        <f>F15</f>
        <v>1</v>
      </c>
      <c r="G22" s="72">
        <f t="shared" ref="G22:I22" si="4">G15</f>
        <v>2</v>
      </c>
      <c r="H22" s="72">
        <f t="shared" si="4"/>
        <v>3</v>
      </c>
      <c r="I22" s="72">
        <f t="shared" si="4"/>
        <v>4</v>
      </c>
    </row>
    <row r="23" spans="2:9" ht="6" customHeight="1" x14ac:dyDescent="0.25"/>
    <row r="24" spans="2:9" x14ac:dyDescent="0.25">
      <c r="B24" s="68" t="str">
        <f>B17</f>
        <v xml:space="preserve">Best Case </v>
      </c>
      <c r="C24" s="68"/>
      <c r="D24" s="68"/>
      <c r="E24" s="73">
        <v>2.5000000000000001E-2</v>
      </c>
      <c r="F24" s="69">
        <v>2.7000000000000003E-2</v>
      </c>
      <c r="G24" s="69">
        <v>2.8999999999999998E-2</v>
      </c>
      <c r="H24" s="69">
        <v>3.1E-2</v>
      </c>
      <c r="I24" s="69">
        <v>3.3000000000000002E-2</v>
      </c>
    </row>
    <row r="25" spans="2:9" x14ac:dyDescent="0.25">
      <c r="B25" s="68" t="str">
        <f>B18</f>
        <v>Base Case</v>
      </c>
      <c r="C25" s="68"/>
      <c r="D25" s="68"/>
      <c r="E25" s="73">
        <v>2.3E-2</v>
      </c>
      <c r="F25" s="69">
        <v>2.3E-2</v>
      </c>
      <c r="G25" s="69">
        <v>2.5000000000000001E-2</v>
      </c>
      <c r="H25" s="69">
        <v>2.7000000000000003E-2</v>
      </c>
      <c r="I25" s="69">
        <v>2.8999999999999998E-2</v>
      </c>
    </row>
    <row r="26" spans="2:9" x14ac:dyDescent="0.25">
      <c r="B26" s="68" t="str">
        <f>B19</f>
        <v>Worst Case</v>
      </c>
      <c r="C26" s="68"/>
      <c r="D26" s="68"/>
      <c r="E26" s="73">
        <v>1.7999999999999999E-2</v>
      </c>
      <c r="F26" s="69">
        <v>0.02</v>
      </c>
      <c r="G26" s="69">
        <v>2.1000000000000001E-2</v>
      </c>
      <c r="H26" s="69">
        <v>2.2000000000000002E-2</v>
      </c>
      <c r="I26" s="69">
        <v>2.4E-2</v>
      </c>
    </row>
    <row r="29" spans="2:9" ht="19.5" x14ac:dyDescent="0.3">
      <c r="B29" s="76" t="s">
        <v>41</v>
      </c>
    </row>
    <row r="30" spans="2:9" ht="6" customHeight="1" x14ac:dyDescent="0.25"/>
    <row r="31" spans="2:9" x14ac:dyDescent="0.25">
      <c r="B31" t="s">
        <v>121</v>
      </c>
    </row>
    <row r="32" spans="2:9" x14ac:dyDescent="0.25">
      <c r="B32" t="s">
        <v>122</v>
      </c>
    </row>
    <row r="33" spans="2:2" x14ac:dyDescent="0.25">
      <c r="B33" t="s">
        <v>127</v>
      </c>
    </row>
  </sheetData>
  <dataValidations count="1">
    <dataValidation type="list" allowBlank="1" showInputMessage="1" showErrorMessage="1" sqref="C15 C22" xr:uid="{27F0166C-FAC6-4B9F-967D-947A3C60BB07}">
      <formula1>$B$17:$B$19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2C63-0F67-4FA8-9E85-1852A7EAAC8D}">
  <dimension ref="A2:F67"/>
  <sheetViews>
    <sheetView showGridLines="0" tabSelected="1" workbookViewId="0">
      <selection activeCell="J7" sqref="J7"/>
    </sheetView>
  </sheetViews>
  <sheetFormatPr defaultRowHeight="15" x14ac:dyDescent="0.25"/>
  <cols>
    <col min="1" max="1" width="4" customWidth="1"/>
    <col min="2" max="2" width="41.28515625" customWidth="1"/>
    <col min="3" max="3" width="19.7109375" customWidth="1"/>
    <col min="4" max="4" width="2.85546875" customWidth="1"/>
    <col min="5" max="5" width="35" customWidth="1"/>
    <col min="6" max="6" width="33.42578125" customWidth="1"/>
  </cols>
  <sheetData>
    <row r="2" spans="1:6" ht="30.75" x14ac:dyDescent="0.45">
      <c r="B2" s="66" t="s">
        <v>136</v>
      </c>
    </row>
    <row r="6" spans="1:6" ht="18" x14ac:dyDescent="0.25">
      <c r="B6" s="30" t="s">
        <v>109</v>
      </c>
    </row>
    <row r="7" spans="1:6" x14ac:dyDescent="0.25">
      <c r="B7" s="2" t="s">
        <v>98</v>
      </c>
    </row>
    <row r="9" spans="1:6" ht="27.75" customHeight="1" x14ac:dyDescent="0.25">
      <c r="B9" s="36" t="s">
        <v>99</v>
      </c>
      <c r="C9" s="36" t="s">
        <v>104</v>
      </c>
      <c r="D9" s="36"/>
      <c r="E9" s="36" t="s">
        <v>100</v>
      </c>
      <c r="F9" s="36" t="s">
        <v>97</v>
      </c>
    </row>
    <row r="10" spans="1:6" x14ac:dyDescent="0.25">
      <c r="C10" s="28"/>
      <c r="D10" s="28"/>
      <c r="E10" s="28"/>
      <c r="F10" s="28"/>
    </row>
    <row r="11" spans="1:6" x14ac:dyDescent="0.25">
      <c r="B11" t="s">
        <v>101</v>
      </c>
      <c r="C11" s="39">
        <v>2362</v>
      </c>
      <c r="D11" s="39"/>
      <c r="E11" s="39">
        <v>231</v>
      </c>
      <c r="F11" s="34">
        <f>E11/C11</f>
        <v>9.7798475867908546E-2</v>
      </c>
    </row>
    <row r="12" spans="1:6" x14ac:dyDescent="0.25">
      <c r="B12" t="s">
        <v>102</v>
      </c>
      <c r="C12" s="39">
        <v>4627</v>
      </c>
      <c r="D12" s="39"/>
      <c r="E12" s="39">
        <v>339</v>
      </c>
      <c r="F12" s="34">
        <f>E12/C12</f>
        <v>7.3265614869245738E-2</v>
      </c>
    </row>
    <row r="13" spans="1:6" ht="8.25" customHeight="1" x14ac:dyDescent="0.25"/>
    <row r="14" spans="1:6" x14ac:dyDescent="0.25">
      <c r="A14" s="2"/>
      <c r="B14" s="2" t="s">
        <v>103</v>
      </c>
      <c r="C14" s="2"/>
      <c r="D14" s="2"/>
      <c r="E14" s="2"/>
      <c r="F14" s="40">
        <f>SUMPRODUCT(F11:F12,C11:C12/SUM(C11:C12))</f>
        <v>8.1556732007440264E-2</v>
      </c>
    </row>
    <row r="18" spans="2:6" ht="18" x14ac:dyDescent="0.25">
      <c r="B18" s="30" t="s">
        <v>110</v>
      </c>
    </row>
    <row r="19" spans="2:6" x14ac:dyDescent="0.25">
      <c r="B19" s="2" t="s">
        <v>68</v>
      </c>
    </row>
    <row r="21" spans="2:6" ht="31.5" x14ac:dyDescent="0.25">
      <c r="B21" s="36" t="s">
        <v>69</v>
      </c>
      <c r="C21" s="36" t="s">
        <v>105</v>
      </c>
      <c r="D21" s="36"/>
      <c r="E21" s="36" t="s">
        <v>70</v>
      </c>
      <c r="F21" s="36" t="s">
        <v>81</v>
      </c>
    </row>
    <row r="22" spans="2:6" x14ac:dyDescent="0.25">
      <c r="B22" s="31"/>
      <c r="C22" s="31"/>
      <c r="D22" s="31"/>
      <c r="E22" s="31"/>
      <c r="F22" s="31"/>
    </row>
    <row r="23" spans="2:6" x14ac:dyDescent="0.25">
      <c r="B23" s="32" t="s">
        <v>71</v>
      </c>
      <c r="C23" s="42">
        <v>154.30000000000001</v>
      </c>
      <c r="D23" s="33"/>
      <c r="E23" s="35">
        <v>5.8900000000000001E-2</v>
      </c>
      <c r="F23" t="s">
        <v>87</v>
      </c>
    </row>
    <row r="24" spans="2:6" x14ac:dyDescent="0.25">
      <c r="B24" s="32" t="s">
        <v>72</v>
      </c>
      <c r="C24" s="42">
        <v>84.3</v>
      </c>
      <c r="D24" s="32"/>
      <c r="E24" s="35">
        <v>4.9200000000000001E-2</v>
      </c>
      <c r="F24" t="s">
        <v>86</v>
      </c>
    </row>
    <row r="25" spans="2:6" x14ac:dyDescent="0.25">
      <c r="B25" s="32" t="s">
        <v>82</v>
      </c>
      <c r="C25" s="42">
        <v>210</v>
      </c>
      <c r="D25" s="33"/>
      <c r="E25" s="34">
        <v>4.1250000000000002E-2</v>
      </c>
      <c r="F25" s="32" t="s">
        <v>73</v>
      </c>
    </row>
    <row r="26" spans="2:6" x14ac:dyDescent="0.25">
      <c r="B26" s="32" t="s">
        <v>83</v>
      </c>
      <c r="C26" s="42">
        <v>147</v>
      </c>
      <c r="D26" s="33"/>
      <c r="E26" s="34">
        <v>2.8750000000000001E-2</v>
      </c>
      <c r="F26" s="32" t="s">
        <v>73</v>
      </c>
    </row>
    <row r="27" spans="2:6" x14ac:dyDescent="0.25">
      <c r="B27" s="32" t="s">
        <v>84</v>
      </c>
      <c r="C27" s="42">
        <v>158.19999999999999</v>
      </c>
      <c r="D27" s="33"/>
      <c r="E27" s="34">
        <v>5.1249999999999997E-2</v>
      </c>
      <c r="F27" s="32" t="s">
        <v>74</v>
      </c>
    </row>
    <row r="28" spans="2:6" x14ac:dyDescent="0.25">
      <c r="B28" s="32" t="s">
        <v>85</v>
      </c>
      <c r="C28" s="42">
        <v>50</v>
      </c>
      <c r="D28" s="32"/>
      <c r="E28" s="34">
        <v>6.7500000000000004E-2</v>
      </c>
      <c r="F28" s="32" t="s">
        <v>75</v>
      </c>
    </row>
    <row r="29" spans="2:6" x14ac:dyDescent="0.25">
      <c r="B29" s="32" t="s">
        <v>84</v>
      </c>
      <c r="C29" s="42">
        <v>50</v>
      </c>
      <c r="D29" s="32"/>
      <c r="E29" s="34">
        <v>7.8750000000000001E-2</v>
      </c>
      <c r="F29" s="32" t="s">
        <v>75</v>
      </c>
    </row>
    <row r="30" spans="2:6" ht="12.75" customHeight="1" x14ac:dyDescent="0.25">
      <c r="B30" s="32" t="s">
        <v>80</v>
      </c>
      <c r="C30" s="42">
        <v>10</v>
      </c>
      <c r="D30" s="32"/>
      <c r="E30" s="32"/>
    </row>
    <row r="31" spans="2:6" x14ac:dyDescent="0.25">
      <c r="B31" s="37" t="s">
        <v>76</v>
      </c>
      <c r="C31" s="48">
        <f>SUM(C23:C30)</f>
        <v>863.8</v>
      </c>
      <c r="D31" s="14"/>
      <c r="E31" s="38">
        <f>SUMPRODUCT(E23:E29,C23:C29/SUM(C23:C29))</f>
        <v>4.8658737409229331E-2</v>
      </c>
      <c r="F31" s="29"/>
    </row>
    <row r="35" spans="2:6" ht="18" x14ac:dyDescent="0.25">
      <c r="B35" s="30" t="s">
        <v>111</v>
      </c>
    </row>
    <row r="36" spans="2:6" x14ac:dyDescent="0.25">
      <c r="B36" s="2" t="s">
        <v>128</v>
      </c>
    </row>
    <row r="38" spans="2:6" ht="31.5" x14ac:dyDescent="0.25">
      <c r="B38" s="36" t="s">
        <v>88</v>
      </c>
      <c r="C38" s="36" t="s">
        <v>105</v>
      </c>
      <c r="D38" s="36"/>
      <c r="E38" s="36" t="s">
        <v>89</v>
      </c>
      <c r="F38" s="36" t="s">
        <v>106</v>
      </c>
    </row>
    <row r="39" spans="2:6" ht="25.5" customHeight="1" x14ac:dyDescent="0.25">
      <c r="B39" s="31"/>
      <c r="C39" s="28"/>
      <c r="D39" s="28"/>
      <c r="E39" s="28"/>
      <c r="F39" s="31"/>
    </row>
    <row r="40" spans="2:6" x14ac:dyDescent="0.25">
      <c r="B40" s="32" t="s">
        <v>90</v>
      </c>
      <c r="C40" s="49">
        <v>300</v>
      </c>
      <c r="D40" s="28"/>
      <c r="E40" s="34">
        <v>6.2E-2</v>
      </c>
      <c r="F40" s="32" t="s">
        <v>91</v>
      </c>
    </row>
    <row r="41" spans="2:6" x14ac:dyDescent="0.25">
      <c r="B41" s="32" t="s">
        <v>92</v>
      </c>
      <c r="C41" s="49">
        <v>250</v>
      </c>
      <c r="D41" s="28"/>
      <c r="E41" s="44">
        <v>0.06</v>
      </c>
      <c r="F41" s="32" t="s">
        <v>93</v>
      </c>
    </row>
    <row r="42" spans="2:6" x14ac:dyDescent="0.25">
      <c r="B42" s="32" t="s">
        <v>94</v>
      </c>
      <c r="C42" s="49">
        <v>300</v>
      </c>
      <c r="D42" s="28"/>
      <c r="E42" s="34">
        <v>6.4000000000000001E-2</v>
      </c>
      <c r="F42" s="32" t="s">
        <v>95</v>
      </c>
    </row>
    <row r="43" spans="2:6" x14ac:dyDescent="0.25">
      <c r="B43" s="32" t="s">
        <v>96</v>
      </c>
      <c r="C43" s="49">
        <v>125</v>
      </c>
      <c r="D43" s="28"/>
      <c r="E43" s="44">
        <v>0.06</v>
      </c>
      <c r="F43" s="32" t="s">
        <v>107</v>
      </c>
    </row>
    <row r="44" spans="2:6" x14ac:dyDescent="0.25">
      <c r="C44" s="50"/>
      <c r="F44" s="32"/>
    </row>
    <row r="45" spans="2:6" x14ac:dyDescent="0.25">
      <c r="B45" s="46" t="s">
        <v>108</v>
      </c>
      <c r="C45" s="51">
        <f>SUM(C40:C43)</f>
        <v>975</v>
      </c>
      <c r="D45" s="41"/>
      <c r="E45" s="45">
        <f>AVERAGE(E40:E43)</f>
        <v>6.1499999999999999E-2</v>
      </c>
      <c r="F45" s="41"/>
    </row>
    <row r="50" spans="2:5" ht="26.25" x14ac:dyDescent="0.4">
      <c r="B50" s="67" t="s">
        <v>112</v>
      </c>
    </row>
    <row r="52" spans="2:5" ht="35.25" customHeight="1" x14ac:dyDescent="0.25">
      <c r="B52" s="64" t="s">
        <v>113</v>
      </c>
      <c r="C52" s="47" t="s">
        <v>114</v>
      </c>
      <c r="D52" s="47"/>
      <c r="E52" s="47" t="s">
        <v>115</v>
      </c>
    </row>
    <row r="54" spans="2:5" x14ac:dyDescent="0.25">
      <c r="B54" t="s">
        <v>116</v>
      </c>
      <c r="C54" s="39">
        <f>C12</f>
        <v>4627</v>
      </c>
      <c r="D54" s="28"/>
      <c r="E54" s="34">
        <f>F14</f>
        <v>8.1556732007440264E-2</v>
      </c>
    </row>
    <row r="55" spans="2:5" x14ac:dyDescent="0.25">
      <c r="B55" t="s">
        <v>117</v>
      </c>
      <c r="C55" s="52">
        <f>C31</f>
        <v>863.8</v>
      </c>
      <c r="D55" s="28"/>
      <c r="E55" s="34">
        <f>E31</f>
        <v>4.8658737409229331E-2</v>
      </c>
    </row>
    <row r="56" spans="2:5" x14ac:dyDescent="0.25">
      <c r="B56" t="s">
        <v>118</v>
      </c>
      <c r="C56" s="43">
        <f>C45</f>
        <v>975</v>
      </c>
      <c r="D56" s="28"/>
      <c r="E56" s="34">
        <f>E45</f>
        <v>6.1499999999999999E-2</v>
      </c>
    </row>
    <row r="58" spans="2:5" x14ac:dyDescent="0.25">
      <c r="B58" s="14" t="s">
        <v>119</v>
      </c>
      <c r="C58" s="14"/>
      <c r="D58" s="14"/>
      <c r="E58" s="45">
        <f>SUMPRODUCT(C54:C56,E54:E56/SUM(C54:C56))</f>
        <v>7.4137294127952974E-2</v>
      </c>
    </row>
    <row r="64" spans="2:5" ht="19.5" x14ac:dyDescent="0.3">
      <c r="B64" s="76" t="s">
        <v>77</v>
      </c>
    </row>
    <row r="65" spans="2:2" ht="6.75" customHeight="1" x14ac:dyDescent="0.25"/>
    <row r="66" spans="2:2" x14ac:dyDescent="0.25">
      <c r="B66" t="s">
        <v>78</v>
      </c>
    </row>
    <row r="67" spans="2:2" x14ac:dyDescent="0.25">
      <c r="B67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BD38-D9E2-47F9-AD20-87B8392B646B}">
  <dimension ref="B2:G21"/>
  <sheetViews>
    <sheetView showGridLines="0" workbookViewId="0">
      <selection activeCell="B18" sqref="B18"/>
    </sheetView>
  </sheetViews>
  <sheetFormatPr defaultRowHeight="15" x14ac:dyDescent="0.25"/>
  <cols>
    <col min="1" max="1" width="1.85546875" customWidth="1"/>
    <col min="2" max="2" width="37.85546875" customWidth="1"/>
    <col min="3" max="3" width="14.42578125" customWidth="1"/>
    <col min="4" max="4" width="7.42578125" customWidth="1"/>
    <col min="5" max="5" width="7" customWidth="1"/>
    <col min="6" max="6" width="3" customWidth="1"/>
    <col min="7" max="7" width="17.42578125" customWidth="1"/>
  </cols>
  <sheetData>
    <row r="2" spans="2:7" ht="30.75" x14ac:dyDescent="0.45">
      <c r="B2" s="66" t="s">
        <v>123</v>
      </c>
      <c r="C2" s="65"/>
    </row>
    <row r="6" spans="2:7" ht="22.5" customHeight="1" x14ac:dyDescent="0.25">
      <c r="B6" s="58" t="s">
        <v>51</v>
      </c>
      <c r="C6" s="59" t="s">
        <v>55</v>
      </c>
      <c r="D6" s="59"/>
      <c r="E6" s="58"/>
      <c r="F6" s="58"/>
      <c r="G6" s="58" t="s">
        <v>66</v>
      </c>
    </row>
    <row r="7" spans="2:7" x14ac:dyDescent="0.25">
      <c r="C7" s="28"/>
      <c r="D7" s="28"/>
      <c r="E7" s="28"/>
      <c r="G7" s="28"/>
    </row>
    <row r="8" spans="2:7" x14ac:dyDescent="0.25">
      <c r="B8" t="s">
        <v>52</v>
      </c>
      <c r="C8" s="60" t="s">
        <v>56</v>
      </c>
      <c r="D8" s="60"/>
      <c r="E8" s="60"/>
      <c r="G8" s="34">
        <v>6.4999999999999997E-3</v>
      </c>
    </row>
    <row r="9" spans="2:7" x14ac:dyDescent="0.25">
      <c r="B9" t="s">
        <v>53</v>
      </c>
      <c r="C9" s="60" t="s">
        <v>57</v>
      </c>
      <c r="D9" s="60"/>
      <c r="E9" s="60"/>
      <c r="G9" s="34">
        <v>4.0000000000000001E-3</v>
      </c>
    </row>
    <row r="10" spans="2:7" x14ac:dyDescent="0.25">
      <c r="B10" t="s">
        <v>54</v>
      </c>
      <c r="C10" s="60" t="s">
        <v>58</v>
      </c>
      <c r="D10" s="60"/>
      <c r="E10" s="60"/>
      <c r="G10" s="34">
        <v>4.0000000000000001E-3</v>
      </c>
    </row>
    <row r="11" spans="2:7" x14ac:dyDescent="0.25">
      <c r="C11" s="60"/>
      <c r="D11" s="60"/>
      <c r="E11" s="60"/>
      <c r="G11" s="28"/>
    </row>
    <row r="12" spans="2:7" x14ac:dyDescent="0.25">
      <c r="B12" t="s">
        <v>65</v>
      </c>
      <c r="C12" s="60" t="s">
        <v>59</v>
      </c>
      <c r="D12" s="60"/>
      <c r="E12" s="60"/>
      <c r="G12" s="34">
        <v>1.4500000000000001E-2</v>
      </c>
    </row>
    <row r="13" spans="2:7" ht="23.25" customHeight="1" x14ac:dyDescent="0.25">
      <c r="G13" s="34"/>
    </row>
    <row r="15" spans="2:7" ht="17.25" x14ac:dyDescent="0.25">
      <c r="B15" s="61" t="s">
        <v>124</v>
      </c>
      <c r="C15" s="24"/>
      <c r="D15" s="62"/>
      <c r="E15" s="62"/>
      <c r="F15" s="62"/>
      <c r="G15" s="63">
        <f>'M&amp;A Model'!H39*G12</f>
        <v>549.04395000000011</v>
      </c>
    </row>
    <row r="18" spans="2:2" ht="19.5" x14ac:dyDescent="0.3">
      <c r="B18" s="76" t="s">
        <v>41</v>
      </c>
    </row>
    <row r="19" spans="2:2" ht="7.5" customHeight="1" x14ac:dyDescent="0.25"/>
    <row r="20" spans="2:2" x14ac:dyDescent="0.25">
      <c r="B20" t="s">
        <v>125</v>
      </c>
    </row>
    <row r="21" spans="2:2" x14ac:dyDescent="0.25">
      <c r="B21" t="s">
        <v>126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502F-8614-45D8-BD38-17E2778D2512}">
  <dimension ref="B1:H14"/>
  <sheetViews>
    <sheetView showGridLines="0" workbookViewId="0">
      <selection activeCell="H8" sqref="H8"/>
    </sheetView>
  </sheetViews>
  <sheetFormatPr defaultRowHeight="15" x14ac:dyDescent="0.25"/>
  <cols>
    <col min="1" max="1" width="1.85546875" customWidth="1"/>
  </cols>
  <sheetData>
    <row r="1" spans="2:8" ht="30.75" x14ac:dyDescent="0.45">
      <c r="B1" s="66" t="s">
        <v>32</v>
      </c>
    </row>
    <row r="4" spans="2:8" ht="15.75" x14ac:dyDescent="0.25">
      <c r="B4" s="56" t="s">
        <v>33</v>
      </c>
      <c r="C4" s="56"/>
      <c r="D4" s="56"/>
      <c r="E4" s="56"/>
      <c r="F4" s="56"/>
      <c r="G4" s="56"/>
      <c r="H4" s="56"/>
    </row>
    <row r="6" spans="2:8" x14ac:dyDescent="0.25">
      <c r="B6" t="s">
        <v>35</v>
      </c>
      <c r="H6">
        <f>'M&amp;A Model'!H12/'M&amp;A Model'!H11</f>
        <v>47.954166666666666</v>
      </c>
    </row>
    <row r="7" spans="2:8" x14ac:dyDescent="0.25">
      <c r="B7" t="s">
        <v>34</v>
      </c>
      <c r="H7">
        <f>'M&amp;A Model'!H52/'M&amp;A Model'!H59</f>
        <v>53.372285678751823</v>
      </c>
    </row>
    <row r="8" spans="2:8" ht="18" customHeight="1" x14ac:dyDescent="0.25">
      <c r="B8" s="14" t="s">
        <v>36</v>
      </c>
      <c r="C8" s="14"/>
      <c r="D8" s="14"/>
      <c r="E8" s="14"/>
      <c r="F8" s="14"/>
      <c r="G8" s="14"/>
      <c r="H8" s="71">
        <f>H7/H6-1</f>
        <v>0.1129853647493646</v>
      </c>
    </row>
    <row r="11" spans="2:8" ht="19.5" x14ac:dyDescent="0.3">
      <c r="B11" s="76" t="s">
        <v>130</v>
      </c>
    </row>
    <row r="13" spans="2:8" x14ac:dyDescent="0.25">
      <c r="B13" s="7" t="s">
        <v>131</v>
      </c>
    </row>
    <row r="14" spans="2:8" x14ac:dyDescent="0.25">
      <c r="B14" s="7" t="s">
        <v>132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M&amp;A Model</vt:lpstr>
      <vt:lpstr>Revenue synergy</vt:lpstr>
      <vt:lpstr>Cost Of Debt Estimation</vt:lpstr>
      <vt:lpstr>Transaction fees</vt:lpstr>
      <vt:lpstr>Accretion Dilution Analysis</vt:lpstr>
      <vt:lpstr>base</vt:lpstr>
      <vt:lpstr>best</vt:lpstr>
      <vt:lpstr>'M&amp;A Model'!Print_Area</vt:lpstr>
      <vt:lpstr>worst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malra</dc:creator>
  <cp:lastModifiedBy>yash malra</cp:lastModifiedBy>
  <cp:lastPrinted>2026-07-29T17:45:04Z</cp:lastPrinted>
  <dcterms:created xsi:type="dcterms:W3CDTF">2026-07-29T07:45:13Z</dcterms:created>
  <dcterms:modified xsi:type="dcterms:W3CDTF">2026-10-01T18:06:06Z</dcterms:modified>
</cp:coreProperties>
</file>